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5767ec974d3423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vidence Register" sheetId="1" r:id="R9c0ba81b580d48ff"/>
    <x:sheet xmlns:r="http://schemas.openxmlformats.org/officeDocument/2006/relationships" name="Status Summary" sheetId="2" r:id="R1d3341c0e17340c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FFFFF"/>
      <x:name val="Carlito"/>
    </x:font>
    <x:font>
      <x:i/>
      <x:sz val="9"/>
      <x:color rgb="FF5E6A73"/>
      <x:name val="Carlito"/>
    </x:font>
    <x:font>
      <x:b/>
      <x:sz val="10"/>
      <x:color rgb="FFFFFFFF"/>
      <x:name val="Carlito"/>
    </x:font>
    <x:font>
      <x:sz val="9"/>
      <x:color rgb="FF17212B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D78"/>
      </x:patternFill>
    </x:fill>
  </x:fills>
  <x:borders count="2">
    <x:border/>
    <x:border>
      <x:left style="thin">
        <x:color rgb="FFC9D2DA"/>
      </x:left>
      <x:right style="thin">
        <x:color rgb="FFC9D2DA"/>
      </x:right>
      <x:top style="thin">
        <x:color rgb="FFC9D2DA"/>
      </x:top>
      <x:bottom style="thin">
        <x:color rgb="FFC9D2DA"/>
      </x:bottom>
    </x:border>
  </x:borders>
  <x:cellStyleXfs count="1">
    <x:xf numFmtId="0" fontId="0" fillId="0" borderId="0"/>
  </x:cellStyleXfs>
  <x:cellXfs count="1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5">
    <x:dxf>
      <x:font>
        <x:color rgb="FF225A38"/>
      </x:font>
      <x:fill>
        <x:patternFill patternType="solid">
          <x:bgColor rgb="FFE7F4EC"/>
        </x:patternFill>
      </x:fill>
    </x:dxf>
    <x:dxf>
      <x:font>
        <x:color rgb="FF6B5200"/>
      </x:font>
      <x:fill>
        <x:patternFill patternType="solid">
          <x:bgColor rgb="FFFFF3CD"/>
        </x:patternFill>
      </x:fill>
    </x:dxf>
    <x:dxf>
      <x:font>
        <x:color rgb="FF842029"/>
      </x:font>
      <x:fill>
        <x:patternFill patternType="solid">
          <x:bgColor rgb="FFFBEAEA"/>
        </x:patternFill>
      </x:fill>
    </x:dxf>
    <x:dxf>
      <x:font>
        <x:color rgb="FF842029"/>
      </x:font>
      <x:fill>
        <x:patternFill patternType="solid">
          <x:bgColor rgb="FFFBEAEA"/>
        </x:patternFill>
      </x:fill>
    </x:dxf>
    <x:dxf>
      <x:font>
        <x:color rgb="FF6B5200"/>
      </x:font>
      <x:fill>
        <x:patternFill patternType="solid">
          <x:bgColor rgb="FFFFF3CD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6761c37527a453f" /><Relationship Type="http://schemas.openxmlformats.org/officeDocument/2006/relationships/theme" Target="/xl/theme/theme1.xml" Id="Rc4902281ac284363" /><Relationship Type="http://schemas.openxmlformats.org/officeDocument/2006/relationships/sharedStrings" Target="/xl/sharedStrings.xml" Id="R94941a2d0b86425a" /><Relationship Type="http://schemas.openxmlformats.org/officeDocument/2006/relationships/worksheet" Target="/xl/worksheets/sheet1.xml" Id="R9c0ba81b580d48ff" /><Relationship Type="http://schemas.openxmlformats.org/officeDocument/2006/relationships/worksheet" Target="/xl/worksheets/sheet2.xml" Id="R1d3341c0e17340c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34" hidden="0" customWidth="1"/>
    <x:col min="4" max="4" width="22" hidden="0" customWidth="1"/>
    <x:col min="5" max="5" width="18" hidden="0" customWidth="1"/>
    <x:col min="6" max="6" width="18" hidden="0" customWidth="1"/>
    <x:col min="7" max="7" width="14" hidden="0" customWidth="1"/>
    <x:col min="8" max="8" width="18" hidden="0" customWidth="1"/>
    <x:col min="9" max="9" width="16" hidden="0" customWidth="1"/>
    <x:col min="10" max="10" width="15" hidden="0" customWidth="1"/>
    <x:col min="11" max="11" width="28" hidden="0" customWidth="1"/>
    <x:col min="12" max="12" width="45" hidden="0" customWidth="1"/>
  </x:cols>
  <x:sheetData>
    <x:row r="1" ht="28" customHeight="1">
      <x:c r="A1" s="3" t="str">
        <x:v>Blue Mesa AI Campus - Evidence Register</x:v>
      </x:c>
      <x:c r="B1" s="3" t="str">
        <x:v>Blue Mesa AI Campus - Evidence Register</x:v>
      </x:c>
      <x:c r="C1" s="3" t="str">
        <x:v>Blue Mesa AI Campus - Evidence Register</x:v>
      </x:c>
      <x:c r="D1" s="3" t="str">
        <x:v>Blue Mesa AI Campus - Evidence Register</x:v>
      </x:c>
      <x:c r="E1" s="3" t="str">
        <x:v>Blue Mesa AI Campus - Evidence Register</x:v>
      </x:c>
      <x:c r="F1" s="3" t="str">
        <x:v>Blue Mesa AI Campus - Evidence Register</x:v>
      </x:c>
      <x:c r="G1" s="3" t="str">
        <x:v>Blue Mesa AI Campus - Evidence Register</x:v>
      </x:c>
      <x:c r="H1" s="3" t="str">
        <x:v>Blue Mesa AI Campus - Evidence Register</x:v>
      </x:c>
      <x:c r="I1" s="3" t="str">
        <x:v>Blue Mesa AI Campus - Evidence Register</x:v>
      </x:c>
      <x:c r="J1" s="3" t="str">
        <x:v>Blue Mesa AI Campus - Evidence Register</x:v>
      </x:c>
      <x:c r="K1" s="3" t="str">
        <x:v>Blue Mesa AI Campus - Evidence Register</x:v>
      </x:c>
      <x:c r="L1" s="3" t="str">
        <x:v>Blue Mesa AI Campus - Evidence Register</x:v>
      </x:c>
    </x:row>
    <x:row r="2">
      <x:c r="A2" s="4" t="str">
        <x:v>CB-2026-041 | Working register | August 12, 2026 | Synthetic benchmark matter</x:v>
      </x:c>
    </x:row>
    <x:row r="4" ht="30" customHeight="1">
      <x:c r="A4" s="8" t="str">
        <x:v>ID</x:v>
      </x:c>
      <x:c r="B4" s="8" t="str">
        <x:v>Category</x:v>
      </x:c>
      <x:c r="C4" s="8" t="str">
        <x:v>Document or evidence</x:v>
      </x:c>
      <x:c r="D4" s="8" t="str">
        <x:v>Entity</x:v>
      </x:c>
      <x:c r="E4" s="8" t="str">
        <x:v>Owner</x:v>
      </x:c>
      <x:c r="F4" s="8" t="str">
        <x:v>Date / version</x:v>
      </x:c>
      <x:c r="G4" s="8" t="str">
        <x:v>Status class</x:v>
      </x:c>
      <x:c r="H4" s="8" t="str">
        <x:v>Detailed status</x:v>
      </x:c>
      <x:c r="I4" s="8" t="str">
        <x:v>Sensitivity</x:v>
      </x:c>
      <x:c r="J4" s="8" t="str">
        <x:v>DDRL</x:v>
      </x:c>
      <x:c r="K4" s="8" t="str">
        <x:v>Consent / materiality</x:v>
      </x:c>
      <x:c r="L4" s="8" t="str">
        <x:v>Review note</x:v>
      </x:c>
    </x:row>
    <x:row r="5" ht="42" customHeight="1">
      <x:c r="A5" s="12" t="str">
        <x:v>E-001</x:v>
      </x:c>
      <x:c r="B5" s="12" t="str">
        <x:v>Corporate</x:v>
      </x:c>
      <x:c r="C5" s="12" t="str">
        <x:v>Project entity and stakeholder map</x:v>
      </x:c>
      <x:c r="D5" s="12" t="str">
        <x:v>Group</x:v>
      </x:c>
      <x:c r="E5" s="12" t="str">
        <x:v>Owen Mercer</x:v>
      </x:c>
      <x:c r="F5" s="12" t="str">
        <x:v>2026-08-11</x:v>
      </x:c>
      <x:c r="G5" s="12" t="str">
        <x:v>Ready</x:v>
      </x:c>
      <x:c r="H5" s="12" t="str">
        <x:v>Ready - verify names</x:v>
      </x:c>
      <x:c r="I5" s="12" t="str">
        <x:v>General</x:v>
      </x:c>
      <x:c r="J5" s="12" t="str">
        <x:v>D-01</x:v>
      </x:c>
      <x:c r="K5" s="12" t="str">
        <x:v>Covers four entities</x:v>
      </x:c>
      <x:c r="L5" s="12" t="str">
        <x:v>Buyer request names only Alder Ridge Compute LLC; add SPV and operator.</x:v>
      </x:c>
    </x:row>
    <x:row r="6" ht="42" customHeight="1">
      <x:c r="A6" s="12" t="str">
        <x:v>E-002</x:v>
      </x:c>
      <x:c r="B6" s="12" t="str">
        <x:v>Corporate</x:v>
      </x:c>
      <x:c r="C6" s="12" t="str">
        <x:v>Formation, good standing, ownership and beneficial owner pack</x:v>
      </x:c>
      <x:c r="D6" s="12" t="str">
        <x:v>Holdings / Campus / Northline</x:v>
      </x:c>
      <x:c r="E6" s="12" t="str">
        <x:v>Owen Mercer</x:v>
      </x:c>
      <x:c r="F6" s="12" t="str">
        <x:v>Various</x:v>
      </x:c>
      <x:c r="G6" s="12" t="str">
        <x:v>Partial</x:v>
      </x:c>
      <x:c r="H6" s="12" t="str">
        <x:v>Partial</x:v>
      </x:c>
      <x:c r="I6" s="12" t="str">
        <x:v>Named-party</x:v>
      </x:c>
      <x:c r="J6" s="12" t="str">
        <x:v>D-01</x:v>
      </x:c>
      <x:c r="K6" s="12" t="str">
        <x:v>No</x:v>
      </x:c>
      <x:c r="L6" s="12" t="str">
        <x:v>Northline beneficial-owner certification still missing.</x:v>
      </x:c>
    </x:row>
    <x:row r="7" ht="42" customHeight="1">
      <x:c r="A7" s="12" t="str">
        <x:v>E-003</x:v>
      </x:c>
      <x:c r="B7" s="12" t="str">
        <x:v>Site</x:v>
      </x:c>
      <x:c r="C7" s="12" t="str">
        <x:v>Blue Mesa site option and amendments</x:v>
      </x:c>
      <x:c r="D7" s="12" t="str">
        <x:v>Campus LLC</x:v>
      </x:c>
      <x:c r="E7" s="12" t="str">
        <x:v>Elena Park</x:v>
      </x:c>
      <x:c r="F7" s="12" t="str">
        <x:v>2025-11-14</x:v>
      </x:c>
      <x:c r="G7" s="12" t="str">
        <x:v>Ready</x:v>
      </x:c>
      <x:c r="H7" s="12" t="str">
        <x:v>Ready</x:v>
      </x:c>
      <x:c r="I7" s="12" t="str">
        <x:v>General</x:v>
      </x:c>
      <x:c r="J7" s="12" t="str">
        <x:v>D-02,D-24</x:v>
      </x:c>
      <x:c r="K7" s="12" t="str">
        <x:v>Assignment / change of control; below $500k</x:v>
      </x:c>
      <x:c r="L7" s="12" t="str">
        <x:v>Operationally critical. Option exercise deadline is 2026-10-31.</x:v>
      </x:c>
    </x:row>
    <x:row r="8" ht="42" customHeight="1">
      <x:c r="A8" s="12" t="str">
        <x:v>E-004</x:v>
      </x:c>
      <x:c r="B8" s="12" t="str">
        <x:v>Power</x:v>
      </x:c>
      <x:c r="C8" s="12" t="str">
        <x:v>Utility service agreement and amendment 1</x:v>
      </x:c>
      <x:c r="D8" s="12" t="str">
        <x:v>Campus LLC</x:v>
      </x:c>
      <x:c r="E8" s="12" t="str">
        <x:v>Elena Park</x:v>
      </x:c>
      <x:c r="F8" s="12" t="str">
        <x:v>2026-06-18</x:v>
      </x:c>
      <x:c r="G8" s="12" t="str">
        <x:v>Ready</x:v>
      </x:c>
      <x:c r="H8" s="12" t="str">
        <x:v>Ready - conflict</x:v>
      </x:c>
      <x:c r="I8" s="12" t="str">
        <x:v>General</x:v>
      </x:c>
      <x:c r="J8" s="12" t="str">
        <x:v>D-04,D-05,D-24</x:v>
      </x:c>
      <x:c r="K8" s="12" t="str">
        <x:v>Assignment / load-user change</x:v>
      </x:c>
      <x:c r="L8" s="12" t="str">
        <x:v>Supports 12 MW on 2027-01-15 and another 12 MW on 2027-04-01; not 24 MW at initial service.</x:v>
      </x:c>
    </x:row>
    <x:row r="9" ht="42" customHeight="1">
      <x:c r="A9" s="12" t="str">
        <x:v>E-005</x:v>
      </x:c>
      <x:c r="B9" s="12" t="str">
        <x:v>Power</x:v>
      </x:c>
      <x:c r="C9" s="12" t="str">
        <x:v>Utility tariff and energy-price schedules</x:v>
      </x:c>
      <x:c r="D9" s="12" t="str">
        <x:v>Campus LLC</x:v>
      </x:c>
      <x:c r="E9" s="12" t="str">
        <x:v>Marcus Hale</x:v>
      </x:c>
      <x:c r="F9" s="12" t="str">
        <x:v>2026 tariff</x:v>
      </x:c>
      <x:c r="G9" s="12" t="str">
        <x:v>Hold</x:v>
      </x:c>
      <x:c r="H9" s="12" t="str">
        <x:v>Hold - approval</x:v>
      </x:c>
      <x:c r="I9" s="12" t="str">
        <x:v>Clean team</x:v>
      </x:c>
      <x:c r="J9" s="12" t="str">
        <x:v>D-04</x:v>
      </x:c>
      <x:c r="K9" s="12" t="str">
        <x:v>Operator instruction conflicts with buyer request</x:v>
      </x:c>
      <x:c r="L9" s="12" t="str">
        <x:v>Buyer requests unredacted support; GC and CFO approval required before release.</x:v>
      </x:c>
    </x:row>
    <x:row r="10" ht="42" customHeight="1">
      <x:c r="A10" s="12" t="str">
        <x:v>E-006</x:v>
      </x:c>
      <x:c r="B10" s="12" t="str">
        <x:v>Power</x:v>
      </x:c>
      <x:c r="C10" s="12" t="str">
        <x:v>Utility invoices and deposit ledger</x:v>
      </x:c>
      <x:c r="D10" s="12" t="str">
        <x:v>Campus LLC</x:v>
      </x:c>
      <x:c r="E10" s="12" t="str">
        <x:v>Marcus Hale</x:v>
      </x:c>
      <x:c r="F10" s="12" t="str">
        <x:v>2026 YTD</x:v>
      </x:c>
      <x:c r="G10" s="12" t="str">
        <x:v>Partial</x:v>
      </x:c>
      <x:c r="H10" s="12" t="str">
        <x:v>Partial</x:v>
      </x:c>
      <x:c r="I10" s="12" t="str">
        <x:v>Clean team</x:v>
      </x:c>
      <x:c r="J10" s="12" t="str">
        <x:v>D-04</x:v>
      </x:c>
      <x:c r="K10" s="12" t="str">
        <x:v>No</x:v>
      </x:c>
      <x:c r="L10" s="12" t="str">
        <x:v>Construction-service invoices only; production billing has not begun.</x:v>
      </x:c>
    </x:row>
    <x:row r="11" ht="42" customHeight="1">
      <x:c r="A11" s="12" t="str">
        <x:v>E-007</x:v>
      </x:c>
      <x:c r="B11" s="12" t="str">
        <x:v>Electrical</x:v>
      </x:c>
      <x:c r="C11" s="12" t="str">
        <x:v>Current single-line diagram</x:v>
      </x:c>
      <x:c r="D11" s="12" t="str">
        <x:v>Campus LLC</x:v>
      </x:c>
      <x:c r="E11" s="12" t="str">
        <x:v>Rina Solberg</x:v>
      </x:c>
      <x:c r="F11" s="12" t="str">
        <x:v>Rev 7 - 2026-08-05</x:v>
      </x:c>
      <x:c r="G11" s="12" t="str">
        <x:v>Ready</x:v>
      </x:c>
      <x:c r="H11" s="12" t="str">
        <x:v>Ready</x:v>
      </x:c>
      <x:c r="I11" s="12" t="str">
        <x:v>Named-party</x:v>
      </x:c>
      <x:c r="J11" s="12" t="str">
        <x:v>D-06</x:v>
      </x:c>
      <x:c r="K11" s="12" t="str">
        <x:v>No</x:v>
      </x:c>
      <x:c r="L11" s="12" t="str">
        <x:v>Current design document.</x:v>
      </x:c>
    </x:row>
    <x:row r="12" ht="42" customHeight="1">
      <x:c r="A12" s="12" t="str">
        <x:v>E-008</x:v>
      </x:c>
      <x:c r="B12" s="12" t="str">
        <x:v>Electrical</x:v>
      </x:c>
      <x:c r="C12" s="12" t="str">
        <x:v>Load study and redundancy assessment</x:v>
      </x:c>
      <x:c r="D12" s="12" t="str">
        <x:v>Campus LLC</x:v>
      </x:c>
      <x:c r="E12" s="12" t="str">
        <x:v>Rina Solberg</x:v>
      </x:c>
      <x:c r="F12" s="12" t="str">
        <x:v>Draft - 2026-08-09</x:v>
      </x:c>
      <x:c r="G12" s="12" t="str">
        <x:v>Partial</x:v>
      </x:c>
      <x:c r="H12" s="12" t="str">
        <x:v>Partial</x:v>
      </x:c>
      <x:c r="I12" s="12" t="str">
        <x:v>Named-party</x:v>
      </x:c>
      <x:c r="J12" s="12" t="str">
        <x:v>D-06</x:v>
      </x:c>
      <x:c r="K12" s="12" t="str">
        <x:v>No</x:v>
      </x:c>
      <x:c r="L12" s="12" t="str">
        <x:v>Engineer sign-off and final utility assumptions pending.</x:v>
      </x:c>
    </x:row>
    <x:row r="13" ht="42" customHeight="1">
      <x:c r="A13" s="12" t="str">
        <x:v>E-009</x:v>
      </x:c>
      <x:c r="B13" s="12" t="str">
        <x:v>Cooling</x:v>
      </x:c>
      <x:c r="C13" s="12" t="str">
        <x:v>Kestrel cooling commissioning report</x:v>
      </x:c>
      <x:c r="D13" s="12" t="str">
        <x:v>Campus LLC</x:v>
      </x:c>
      <x:c r="E13" s="12" t="str">
        <x:v>Elena Park</x:v>
      </x:c>
      <x:c r="F13" s="12" t="str">
        <x:v>2026-05-30</x:v>
      </x:c>
      <x:c r="G13" s="12" t="str">
        <x:v>Stale</x:v>
      </x:c>
      <x:c r="H13" s="12" t="str">
        <x:v>Stale - refresh</x:v>
      </x:c>
      <x:c r="I13" s="12" t="str">
        <x:v>Named-party</x:v>
      </x:c>
      <x:c r="J13" s="12" t="str">
        <x:v>D-07</x:v>
      </x:c>
      <x:c r="K13" s="12" t="str">
        <x:v>No</x:v>
      </x:c>
      <x:c r="L13" s="12" t="str">
        <x:v>Predates July B200 expansion; not current proof for offered configuration.</x:v>
      </x:c>
    </x:row>
    <x:row r="14" ht="42" customHeight="1">
      <x:c r="A14" s="12" t="str">
        <x:v>E-010</x:v>
      </x:c>
      <x:c r="B14" s="12" t="str">
        <x:v>Cooling</x:v>
      </x:c>
      <x:c r="C14" s="12" t="str">
        <x:v>B200 thermal design basis and capacity model</x:v>
      </x:c>
      <x:c r="D14" s="12" t="str">
        <x:v>Campus LLC</x:v>
      </x:c>
      <x:c r="E14" s="12" t="str">
        <x:v>Rina Solberg</x:v>
      </x:c>
      <x:c r="F14" s="12" t="str">
        <x:v>Rev 2 - 2026-07-28</x:v>
      </x:c>
      <x:c r="G14" s="12" t="str">
        <x:v>Ready</x:v>
      </x:c>
      <x:c r="H14" s="12" t="str">
        <x:v>Ready</x:v>
      </x:c>
      <x:c r="I14" s="12" t="str">
        <x:v>Named-party</x:v>
      </x:c>
      <x:c r="J14" s="12" t="str">
        <x:v>D-07</x:v>
      </x:c>
      <x:c r="K14" s="12" t="str">
        <x:v>No</x:v>
      </x:c>
      <x:c r="L14" s="12" t="str">
        <x:v>Requires Kestrel commissioning refresh.</x:v>
      </x:c>
    </x:row>
    <x:row r="15" ht="42" customHeight="1">
      <x:c r="A15" s="12" t="str">
        <x:v>E-011</x:v>
      </x:c>
      <x:c r="B15" s="12" t="str">
        <x:v>Hardware</x:v>
      </x:c>
      <x:c r="C15" s="12" t="str">
        <x:v>B200 purchase orders and supplier confirmations</x:v>
      </x:c>
      <x:c r="D15" s="12" t="str">
        <x:v>Northline</x:v>
      </x:c>
      <x:c r="E15" s="12" t="str">
        <x:v>Rina Solberg</x:v>
      </x:c>
      <x:c r="F15" s="12" t="str">
        <x:v>2026-07-19</x:v>
      </x:c>
      <x:c r="G15" s="12" t="str">
        <x:v>Ready</x:v>
      </x:c>
      <x:c r="H15" s="12" t="str">
        <x:v>Ready - redact</x:v>
      </x:c>
      <x:c r="I15" s="12" t="str">
        <x:v>Clean team</x:v>
      </x:c>
      <x:c r="J15" s="12" t="str">
        <x:v>D-09</x:v>
      </x:c>
      <x:c r="K15" s="12" t="str">
        <x:v>Supplier confidentiality</x:v>
      </x:c>
      <x:c r="L15" s="12" t="str">
        <x:v>Redacted Phase 1; unredacted Phase 2 clean team. Buyer may object.</x:v>
      </x:c>
    </x:row>
    <x:row r="16" ht="42" customHeight="1">
      <x:c r="A16" s="12" t="str">
        <x:v>E-012</x:v>
      </x:c>
      <x:c r="B16" s="12" t="str">
        <x:v>Hardware</x:v>
      </x:c>
      <x:c r="C16" s="12" t="str">
        <x:v>Serial inventory and node allocation schedule</x:v>
      </x:c>
      <x:c r="D16" s="12" t="str">
        <x:v>Northline</x:v>
      </x:c>
      <x:c r="E16" s="12" t="str">
        <x:v>Rina Solberg</x:v>
      </x:c>
      <x:c r="F16" s="12" t="str">
        <x:v>Draft - 2026-08-10</x:v>
      </x:c>
      <x:c r="G16" s="12" t="str">
        <x:v>Partial</x:v>
      </x:c>
      <x:c r="H16" s="12" t="str">
        <x:v>Partial</x:v>
      </x:c>
      <x:c r="I16" s="12" t="str">
        <x:v>Named-party</x:v>
      </x:c>
      <x:c r="J16" s="12" t="str">
        <x:v>D-09</x:v>
      </x:c>
      <x:c r="K16" s="12" t="str">
        <x:v>No</x:v>
      </x:c>
      <x:c r="L16" s="12" t="str">
        <x:v>Serials assigned for 640 GPUs; remainder pending supplier allocation.</x:v>
      </x:c>
    </x:row>
    <x:row r="17" ht="42" customHeight="1">
      <x:c r="A17" s="12" t="str">
        <x:v>E-013</x:v>
      </x:c>
      <x:c r="B17" s="12" t="str">
        <x:v>Financing</x:v>
      </x:c>
      <x:c r="C17" s="12" t="str">
        <x:v>Crestline equipment credit agreement, UCC and collateral schedule</x:v>
      </x:c>
      <x:c r="D17" s="12" t="str">
        <x:v>Northline</x:v>
      </x:c>
      <x:c r="E17" s="12" t="str">
        <x:v>Marcus Hale</x:v>
      </x:c>
      <x:c r="F17" s="12" t="str">
        <x:v>2026-07-25</x:v>
      </x:c>
      <x:c r="G17" s="12" t="str">
        <x:v>Ready</x:v>
      </x:c>
      <x:c r="H17" s="12" t="str">
        <x:v>Ready - consent</x:v>
      </x:c>
      <x:c r="I17" s="12" t="str">
        <x:v>Clean team</x:v>
      </x:c>
      <x:c r="J17" s="12" t="str">
        <x:v>D-09,D-18,D-24</x:v>
      </x:c>
      <x:c r="K17" s="12" t="str">
        <x:v>Lien / transfer / customer dedication</x:v>
      </x:c>
      <x:c r="L17" s="12" t="str">
        <x:v>Priority lender consent and release mechanics required.</x:v>
      </x:c>
    </x:row>
    <x:row r="18" ht="42" customHeight="1">
      <x:c r="A18" s="12" t="str">
        <x:v>E-014</x:v>
      </x:c>
      <x:c r="B18" s="12" t="str">
        <x:v>Hardware</x:v>
      </x:c>
      <x:c r="C18" s="12" t="str">
        <x:v>OEM warranty, integrator support and RMA process</x:v>
      </x:c>
      <x:c r="D18" s="12" t="str">
        <x:v>Northline</x:v>
      </x:c>
      <x:c r="E18" s="12" t="str">
        <x:v>Rina Solberg</x:v>
      </x:c>
      <x:c r="F18" s="12" t="str">
        <x:v>2026-07-19</x:v>
      </x:c>
      <x:c r="G18" s="12" t="str">
        <x:v>Ready</x:v>
      </x:c>
      <x:c r="H18" s="12" t="str">
        <x:v>Ready - redact</x:v>
      </x:c>
      <x:c r="I18" s="12" t="str">
        <x:v>Clean team</x:v>
      </x:c>
      <x:c r="J18" s="12" t="str">
        <x:v>D-10</x:v>
      </x:c>
      <x:c r="K18" s="12" t="str">
        <x:v>Supplier confidentiality</x:v>
      </x:c>
      <x:c r="L18" s="12" t="str">
        <x:v>Redacted Phase 1; unredacted Phase 2 clean team.</x:v>
      </x:c>
    </x:row>
    <x:row r="19" ht="42" customHeight="1">
      <x:c r="A19" s="12" t="str">
        <x:v>E-015</x:v>
      </x:c>
      <x:c r="B19" s="12" t="str">
        <x:v>Network</x:v>
      </x:c>
      <x:c r="C19" s="12" t="str">
        <x:v>NorthSpan fiber services agreement and delivery order</x:v>
      </x:c>
      <x:c r="D19" s="12" t="str">
        <x:v>Northline</x:v>
      </x:c>
      <x:c r="E19" s="12" t="str">
        <x:v>Rina Solberg</x:v>
      </x:c>
      <x:c r="F19" s="12" t="str">
        <x:v>2026-07-02</x:v>
      </x:c>
      <x:c r="G19" s="12" t="str">
        <x:v>Ready</x:v>
      </x:c>
      <x:c r="H19" s="12" t="str">
        <x:v>Ready - consent</x:v>
      </x:c>
      <x:c r="I19" s="12" t="str">
        <x:v>Named-party</x:v>
      </x:c>
      <x:c r="J19" s="12" t="str">
        <x:v>D-11,D-24</x:v>
      </x:c>
      <x:c r="K19" s="12" t="str">
        <x:v>Assignment / third-party use; $420k</x:v>
      </x:c>
      <x:c r="L19" s="12" t="str">
        <x:v>Below threshold but operationally critical.</x:v>
      </x:c>
    </x:row>
    <x:row r="20" ht="42" customHeight="1">
      <x:c r="A20" s="12" t="str">
        <x:v>E-016</x:v>
      </x:c>
      <x:c r="B20" s="12" t="str">
        <x:v>Network</x:v>
      </x:c>
      <x:c r="C20" s="12" t="str">
        <x:v>Fabric topology, port map and carrier test plan</x:v>
      </x:c>
      <x:c r="D20" s="12" t="str">
        <x:v>Northline</x:v>
      </x:c>
      <x:c r="E20" s="12" t="str">
        <x:v>Rina Solberg</x:v>
      </x:c>
      <x:c r="F20" s="12" t="str">
        <x:v>Rev 3 - 2026-08-08</x:v>
      </x:c>
      <x:c r="G20" s="12" t="str">
        <x:v>Partial</x:v>
      </x:c>
      <x:c r="H20" s="12" t="str">
        <x:v>Partial</x:v>
      </x:c>
      <x:c r="I20" s="12" t="str">
        <x:v>Named-party</x:v>
      </x:c>
      <x:c r="J20" s="12" t="str">
        <x:v>D-11</x:v>
      </x:c>
      <x:c r="K20" s="12" t="str">
        <x:v>No</x:v>
      </x:c>
      <x:c r="L20" s="12" t="str">
        <x:v>Topology ready; final port allocation and test result pending.</x:v>
      </x:c>
    </x:row>
    <x:row r="21" ht="42" customHeight="1">
      <x:c r="A21" s="12" t="str">
        <x:v>E-017</x:v>
      </x:c>
      <x:c r="B21" s="12" t="str">
        <x:v>Cooling</x:v>
      </x:c>
      <x:c r="C21" s="12" t="str">
        <x:v>PolarLoop cooling O&amp;M agreement</x:v>
      </x:c>
      <x:c r="D21" s="12" t="str">
        <x:v>Northline</x:v>
      </x:c>
      <x:c r="E21" s="12" t="str">
        <x:v>Rina Solberg</x:v>
      </x:c>
      <x:c r="F21" s="12" t="str">
        <x:v>2026-04-12</x:v>
      </x:c>
      <x:c r="G21" s="12" t="str">
        <x:v>Ready</x:v>
      </x:c>
      <x:c r="H21" s="12" t="str">
        <x:v>Ready - consent</x:v>
      </x:c>
      <x:c r="I21" s="12" t="str">
        <x:v>General</x:v>
      </x:c>
      <x:c r="J21" s="12" t="str">
        <x:v>D-07,D-24</x:v>
      </x:c>
      <x:c r="K21" s="12" t="str">
        <x:v>Assignment / control; $310k</x:v>
      </x:c>
      <x:c r="L21" s="12" t="str">
        <x:v>Below threshold but operationally critical.</x:v>
      </x:c>
    </x:row>
    <x:row r="22" ht="42" customHeight="1">
      <x:c r="A22" s="12" t="str">
        <x:v>E-018</x:v>
      </x:c>
      <x:c r="B22" s="12" t="str">
        <x:v>Security</x:v>
      </x:c>
      <x:c r="C22" s="12" t="str">
        <x:v>SOC 2 Type II report</x:v>
      </x:c>
      <x:c r="D22" s="12" t="str">
        <x:v>Northline</x:v>
      </x:c>
      <x:c r="E22" s="12" t="str">
        <x:v>Rina Solberg</x:v>
      </x:c>
      <x:c r="F22" s="12" t="str">
        <x:v>Period ended 2026-06-30</x:v>
      </x:c>
      <x:c r="G22" s="12" t="str">
        <x:v>Ready</x:v>
      </x:c>
      <x:c r="H22" s="12" t="str">
        <x:v>Ready</x:v>
      </x:c>
      <x:c r="I22" s="12" t="str">
        <x:v>Named-party</x:v>
      </x:c>
      <x:c r="J22" s="12" t="str">
        <x:v>D-12</x:v>
      </x:c>
      <x:c r="K22" s="12" t="str">
        <x:v>No</x:v>
      </x:c>
      <x:c r="L22" s="12" t="str">
        <x:v>Review exceptions and bridge letter requirement.</x:v>
      </x:c>
    </x:row>
    <x:row r="23" ht="42" customHeight="1">
      <x:c r="A23" s="12" t="str">
        <x:v>E-019</x:v>
      </x:c>
      <x:c r="B23" s="12" t="str">
        <x:v>Security</x:v>
      </x:c>
      <x:c r="C23" s="12" t="str">
        <x:v>Physical security and named-access procedure</x:v>
      </x:c>
      <x:c r="D23" s="12" t="str">
        <x:v>Campus / Northline</x:v>
      </x:c>
      <x:c r="E23" s="12" t="str">
        <x:v>Rina Solberg</x:v>
      </x:c>
      <x:c r="F23" s="12" t="str">
        <x:v>Rev 4 - 2026-07-31</x:v>
      </x:c>
      <x:c r="G23" s="12" t="str">
        <x:v>Ready</x:v>
      </x:c>
      <x:c r="H23" s="12" t="str">
        <x:v>Ready - privacy review</x:v>
      </x:c>
      <x:c r="I23" s="12" t="str">
        <x:v>Named-party</x:v>
      </x:c>
      <x:c r="J23" s="12" t="str">
        <x:v>D-12</x:v>
      </x:c>
      <x:c r="K23" s="12" t="str">
        <x:v>Personal information</x:v>
      </x:c>
      <x:c r="L23" s="12" t="str">
        <x:v>Remove employee home contact details before release.</x:v>
      </x:c>
    </x:row>
    <x:row r="24" ht="42" customHeight="1">
      <x:c r="A24" s="12" t="str">
        <x:v>E-020</x:v>
      </x:c>
      <x:c r="B24" s="12" t="str">
        <x:v>Operations</x:v>
      </x:c>
      <x:c r="C24" s="12" t="str">
        <x:v>Operations, staffing, maintenance and incident plan</x:v>
      </x:c>
      <x:c r="D24" s="12" t="str">
        <x:v>Northline</x:v>
      </x:c>
      <x:c r="E24" s="12" t="str">
        <x:v>Rina Solberg</x:v>
      </x:c>
      <x:c r="F24" s="12" t="str">
        <x:v>Draft - 2026-08-06</x:v>
      </x:c>
      <x:c r="G24" s="12" t="str">
        <x:v>Partial</x:v>
      </x:c>
      <x:c r="H24" s="12" t="str">
        <x:v>Partial</x:v>
      </x:c>
      <x:c r="I24" s="12" t="str">
        <x:v>General</x:v>
      </x:c>
      <x:c r="J24" s="12" t="str">
        <x:v>D-13,D-14,D-23</x:v>
      </x:c>
      <x:c r="K24" s="12" t="str">
        <x:v>No</x:v>
      </x:c>
      <x:c r="L24" s="12" t="str">
        <x:v>Campus is pre-operational; affiliate incident history must be labeled as such.</x:v>
      </x:c>
    </x:row>
    <x:row r="25" ht="42" customHeight="1">
      <x:c r="A25" s="12" t="str">
        <x:v>E-021</x:v>
      </x:c>
      <x:c r="B25" s="12" t="str">
        <x:v>Commercial</x:v>
      </x:c>
      <x:c r="C25" s="12" t="str">
        <x:v>Northstar offer, pricing model and preliminary term sheet</x:v>
      </x:c>
      <x:c r="D25" s="12" t="str">
        <x:v>Alder Ridge Compute LLC</x:v>
      </x:c>
      <x:c r="E25" s="12" t="str">
        <x:v>Ava Ruiz</x:v>
      </x:c>
      <x:c r="F25" s="12" t="str">
        <x:v>2026-08-08</x:v>
      </x:c>
      <x:c r="G25" s="12" t="str">
        <x:v>Ready</x:v>
      </x:c>
      <x:c r="H25" s="12" t="str">
        <x:v>Ready - review</x:v>
      </x:c>
      <x:c r="I25" s="12" t="str">
        <x:v>Clean team</x:v>
      </x:c>
      <x:c r="J25" s="12" t="str">
        <x:v>D-16</x:v>
      </x:c>
      <x:c r="K25" s="12" t="str">
        <x:v>No</x:v>
      </x:c>
      <x:c r="L25" s="12" t="str">
        <x:v>Reconcile power assumptions and all-in cap before release.</x:v>
      </x:c>
    </x:row>
    <x:row r="26" ht="42" customHeight="1">
      <x:c r="A26" s="12" t="str">
        <x:v>E-022</x:v>
      </x:c>
      <x:c r="B26" s="12" t="str">
        <x:v>Financial</x:v>
      </x:c>
      <x:c r="C26" s="12" t="str">
        <x:v>Project budget, sources and uses, and group financials</x:v>
      </x:c>
      <x:c r="D26" s="12" t="str">
        <x:v>Holdings / Campus</x:v>
      </x:c>
      <x:c r="E26" s="12" t="str">
        <x:v>Marcus Hale</x:v>
      </x:c>
      <x:c r="F26" s="12" t="str">
        <x:v>2026 Q2</x:v>
      </x:c>
      <x:c r="G26" s="12" t="str">
        <x:v>Partial</x:v>
      </x:c>
      <x:c r="H26" s="12" t="str">
        <x:v>Partial</x:v>
      </x:c>
      <x:c r="I26" s="12" t="str">
        <x:v>Clean team</x:v>
      </x:c>
      <x:c r="J26" s="12" t="str">
        <x:v>D-17,D-18</x:v>
      </x:c>
      <x:c r="K26" s="12" t="str">
        <x:v>No</x:v>
      </x:c>
      <x:c r="L26" s="12" t="str">
        <x:v>Budget ready; reviewed group statements awaiting auditor release.</x:v>
      </x:c>
    </x:row>
    <x:row r="27" ht="42" customHeight="1">
      <x:c r="A27" s="12" t="str">
        <x:v>E-023</x:v>
      </x:c>
      <x:c r="B27" s="12" t="str">
        <x:v>Insurance</x:v>
      </x:c>
      <x:c r="C27" s="12" t="str">
        <x:v>Property, casualty and business interruption policies</x:v>
      </x:c>
      <x:c r="D27" s="12" t="str">
        <x:v>Campus / Northline</x:v>
      </x:c>
      <x:c r="E27" s="12" t="str">
        <x:v>Marcus Hale</x:v>
      </x:c>
      <x:c r="F27" s="12" t="str">
        <x:v>2026 policy year</x:v>
      </x:c>
      <x:c r="G27" s="12" t="str">
        <x:v>Ready</x:v>
      </x:c>
      <x:c r="H27" s="12" t="str">
        <x:v>Ready</x:v>
      </x:c>
      <x:c r="I27" s="12" t="str">
        <x:v>Named-party</x:v>
      </x:c>
      <x:c r="J27" s="12" t="str">
        <x:v>D-19</x:v>
      </x:c>
      <x:c r="K27" s="12" t="str">
        <x:v>No</x:v>
      </x:c>
      <x:c r="L27" s="12" t="str">
        <x:v>Current policies received.</x:v>
      </x:c>
    </x:row>
    <x:row r="28" ht="42" customHeight="1">
      <x:c r="A28" s="12" t="str">
        <x:v>E-024</x:v>
      </x:c>
      <x:c r="B28" s="12" t="str">
        <x:v>Insurance</x:v>
      </x:c>
      <x:c r="C28" s="12" t="str">
        <x:v>Cyber and technology E&amp;O policies</x:v>
      </x:c>
      <x:c r="D28" s="12" t="str">
        <x:v>Northline</x:v>
      </x:c>
      <x:c r="E28" s="12" t="str">
        <x:v>Marcus Hale</x:v>
      </x:c>
      <x:c r="F28" s="12" t="str">
        <x:v>2026 policy year</x:v>
      </x:c>
      <x:c r="G28" s="12" t="str">
        <x:v>Missing</x:v>
      </x:c>
      <x:c r="H28" s="12" t="str">
        <x:v>Missing</x:v>
      </x:c>
      <x:c r="I28" s="12" t="str">
        <x:v>Named-party</x:v>
      </x:c>
      <x:c r="J28" s="12" t="str">
        <x:v>D-19</x:v>
      </x:c>
      <x:c r="K28" s="12" t="str">
        <x:v>No</x:v>
      </x:c>
      <x:c r="L28" s="12" t="str">
        <x:v>Coverage and limits unconfirmed; broker request open.</x:v>
      </x:c>
    </x:row>
    <x:row r="29" ht="42" customHeight="1">
      <x:c r="A29" s="12" t="str">
        <x:v>E-025</x:v>
      </x:c>
      <x:c r="B29" s="12" t="str">
        <x:v>Governance</x:v>
      </x:c>
      <x:c r="C29" s="12" t="str">
        <x:v>Board approvals and transaction materials</x:v>
      </x:c>
      <x:c r="D29" s="12" t="str">
        <x:v>Holdings / Campus</x:v>
      </x:c>
      <x:c r="E29" s="12" t="str">
        <x:v>Owen Mercer</x:v>
      </x:c>
      <x:c r="F29" s="12" t="str">
        <x:v>2026</x:v>
      </x:c>
      <x:c r="G29" s="12" t="str">
        <x:v>Partial</x:v>
      </x:c>
      <x:c r="H29" s="12" t="str">
        <x:v>Partial - review</x:v>
      </x:c>
      <x:c r="I29" s="12" t="str">
        <x:v>Hold / General</x:v>
      </x:c>
      <x:c r="J29" s="12" t="str">
        <x:v>D-01,D-16</x:v>
      </x:c>
      <x:c r="K29" s="12" t="str">
        <x:v>Privilege and strategy</x:v>
      </x:c>
      <x:c r="L29" s="12" t="str">
        <x:v>Share routine approvals; redact bid strategy and valuation document by document.</x:v>
      </x:c>
    </x:row>
    <x:row r="30" ht="42" customHeight="1">
      <x:c r="A30" s="12" t="str">
        <x:v>E-026</x:v>
      </x:c>
      <x:c r="B30" s="12" t="str">
        <x:v>Sustainability</x:v>
      </x:c>
      <x:c r="C30" s="12" t="str">
        <x:v>Energy source, renewable matching and water report</x:v>
      </x:c>
      <x:c r="D30" s="12" t="str">
        <x:v>Campus LLC</x:v>
      </x:c>
      <x:c r="E30" s="12" t="str">
        <x:v>Elena Park</x:v>
      </x:c>
      <x:c r="F30" s="12" t="str">
        <x:v>2026</x:v>
      </x:c>
      <x:c r="G30" s="12" t="str">
        <x:v>Partial</x:v>
      </x:c>
      <x:c r="H30" s="12" t="str">
        <x:v>Partial</x:v>
      </x:c>
      <x:c r="I30" s="12" t="str">
        <x:v>General</x:v>
      </x:c>
      <x:c r="J30" s="12" t="str">
        <x:v>D-21</x:v>
      </x:c>
      <x:c r="K30" s="12" t="str">
        <x:v>No</x:v>
      </x:c>
      <x:c r="L30" s="12" t="str">
        <x:v>Water report ready; hourly renewable matching support missing.</x:v>
      </x:c>
    </x:row>
  </x:sheetData>
  <x:mergeCells>
    <x:mergeCell ref="A1:L1"/>
    <x:mergeCell ref="A2:L2"/>
  </x:mergeCells>
  <x:conditionalFormatting sqref="G5:H30">
    <x:cfRule type="containsText" dxfId="0" priority="1" operator="containsText" text="Ready"/>
    <x:cfRule type="containsText" dxfId="1" priority="2" operator="containsText" text="Partial"/>
    <x:cfRule type="containsText" dxfId="2" priority="3" operator="containsText" text="Missing"/>
    <x:cfRule type="containsText" dxfId="3" priority="4" operator="containsText" text="Hold"/>
    <x:cfRule type="containsText" dxfId="4" priority="5" operator="containsText" text="Stale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0" hidden="0" customWidth="1"/>
    <x:col min="3" max="3" width="38" hidden="0" customWidth="1"/>
    <x:col min="4" max="4" width="44" hidden="0" customWidth="1"/>
  </x:cols>
  <x:sheetData>
    <x:row r="1" ht="28" customHeight="1">
      <x:c r="A1" s="3" t="str">
        <x:v>Evidence Register Status</x:v>
      </x:c>
      <x:c r="B1" s="3" t="str">
        <x:v>Evidence Register Status</x:v>
      </x:c>
      <x:c r="C1" s="3" t="str">
        <x:v>Evidence Register Status</x:v>
      </x:c>
      <x:c r="D1" s="3" t="str">
        <x:v>Evidence Register Status</x:v>
      </x:c>
    </x:row>
    <x:row r="3" ht="30" customHeight="1">
      <x:c r="A3" s="8" t="str">
        <x:v>Status class</x:v>
      </x:c>
      <x:c r="B3" s="8" t="str">
        <x:v>Count</x:v>
      </x:c>
      <x:c r="C3" s="8" t="str">
        <x:v>Meaning</x:v>
      </x:c>
      <x:c r="D3" s="8" t="str">
        <x:v>Required handling</x:v>
      </x:c>
    </x:row>
    <x:row r="4" ht="42" customHeight="1">
      <x:c r="A4" s="12" t="str">
        <x:v>Ready</x:v>
      </x:c>
      <x:c r="B4" s="12" t="n">
        <x:f>COUNTIF('Evidence Register'!$G$5:$G$30,"Ready")</x:f>
        <x:v>14</x:v>
      </x:c>
      <x:c r="C4" s="12" t="str">
        <x:v>Reviewed evidence is available.</x:v>
      </x:c>
      <x:c r="D4" s="12" t="str">
        <x:v>Confirm version and release label.</x:v>
      </x:c>
    </x:row>
    <x:row r="5" ht="42" customHeight="1">
      <x:c r="A5" s="12" t="str">
        <x:v>Partial</x:v>
      </x:c>
      <x:c r="B5" s="12" t="n">
        <x:f>COUNTIF('Evidence Register'!$G$5:$G$30,"Partial")</x:f>
        <x:v>9</x:v>
      </x:c>
      <x:c r="C5" s="12" t="str">
        <x:v>Only part of the requested evidence is available.</x:v>
      </x:c>
      <x:c r="D5" s="12" t="str">
        <x:v>Keep request open with owner and next step.</x:v>
      </x:c>
    </x:row>
    <x:row r="6" ht="42" customHeight="1">
      <x:c r="A6" s="12" t="str">
        <x:v>Missing</x:v>
      </x:c>
      <x:c r="B6" s="12" t="n">
        <x:f>COUNTIF('Evidence Register'!$G$5:$G$30,"Missing")</x:f>
        <x:v>1</x:v>
      </x:c>
      <x:c r="C6" s="12" t="str">
        <x:v>No current evidence is in the register.</x:v>
      </x:c>
      <x:c r="D6" s="12" t="str">
        <x:v>Collect or disclose the gap.</x:v>
      </x:c>
    </x:row>
    <x:row r="7" ht="42" customHeight="1">
      <x:c r="A7" s="12" t="str">
        <x:v>Hold</x:v>
      </x:c>
      <x:c r="B7" s="12" t="n">
        <x:f>COUNTIF('Evidence Register'!$G$5:$G$30,"Hold")</x:f>
        <x:v>1</x:v>
      </x:c>
      <x:c r="C7" s="12" t="str">
        <x:v>Evidence exists but may not be released yet.</x:v>
      </x:c>
      <x:c r="D7" s="12" t="str">
        <x:v>Resolve approval, consent, privilege, or access.</x:v>
      </x:c>
    </x:row>
    <x:row r="8" ht="42" customHeight="1">
      <x:c r="A8" s="12" t="str">
        <x:v>Stale</x:v>
      </x:c>
      <x:c r="B8" s="12" t="n">
        <x:f>COUNTIF('Evidence Register'!$G$5:$G$30,"Stale")</x:f>
        <x:v>1</x:v>
      </x:c>
      <x:c r="C8" s="12" t="str">
        <x:v>Evidence no longer proves the current configuration.</x:v>
      </x:c>
      <x:c r="D8" s="12" t="str">
        <x:v>Refresh before relying on it.</x:v>
      </x:c>
    </x:row>
  </x:sheetData>
  <x:mergeCells>
    <x:mergeCell ref="A1:D1"/>
  </x:mergeCells>
  <x:pageMargins left="0.7" right="0.7" top="0.75" bottom="0.75" header="0.3" footer="0.3"/>
</x:worksheet>
</file>