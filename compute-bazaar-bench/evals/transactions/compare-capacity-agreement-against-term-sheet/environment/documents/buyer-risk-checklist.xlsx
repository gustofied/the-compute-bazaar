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54d6b7a99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yer Risk Checklist" sheetId="1" r:id="R973997fd6658492f"/>
    <x:sheet xmlns:r="http://schemas.openxmlformats.org/officeDocument/2006/relationships" name="Gate Summary" sheetId="2" r:id="Rd63703dee92f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9"/>
      <x:color rgb="FF5E6A73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225A38"/>
      </x:font>
      <x:fill>
        <x:patternFill patternType="solid">
          <x:bgColor rgb="FFE7F4EC"/>
        </x:patternFill>
      </x:fill>
    </x:dxf>
    <x:dxf>
      <x:font>
        <x:color rgb="FF6B5200"/>
      </x:font>
      <x:fill>
        <x:patternFill patternType="solid">
          <x:bgColor rgb="FFFFF3CD"/>
        </x:patternFill>
      </x:fill>
    </x:dxf>
    <x:dxf>
      <x:font>
        <x:color rgb="FF842029"/>
      </x:font>
      <x:fill>
        <x:patternFill patternType="solid">
          <x:bgColor rgb="FFFBEAEA"/>
        </x:patternFill>
      </x:fill>
    </x:dxf>
    <x:dxf>
      <x:font>
        <x:color rgb="FF842029"/>
      </x:font>
      <x:fill>
        <x:patternFill patternType="solid">
          <x:bgColor rgb="FFFBEAEA"/>
        </x:patternFill>
      </x:fill>
    </x:dxf>
    <x:dxf>
      <x:font>
        <x:color rgb="FF6B5200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B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aa1e0849d46d0" /><Relationship Type="http://schemas.openxmlformats.org/officeDocument/2006/relationships/theme" Target="/xl/theme/theme1.xml" Id="R0f719aa7e350473c" /><Relationship Type="http://schemas.openxmlformats.org/officeDocument/2006/relationships/sharedStrings" Target="/xl/sharedStrings.xml" Id="R334fd443852240e8" /><Relationship Type="http://schemas.openxmlformats.org/officeDocument/2006/relationships/worksheet" Target="/xl/worksheets/sheet1.xml" Id="R973997fd6658492f" /><Relationship Type="http://schemas.openxmlformats.org/officeDocument/2006/relationships/worksheet" Target="/xl/worksheets/sheet2.xml" Id="Rd63703dee92f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42" hidden="0" customWidth="1"/>
    <x:col min="4" max="4" width="25" hidden="0" customWidth="1"/>
    <x:col min="5" max="5" width="14" hidden="0" customWidth="1"/>
    <x:col min="6" max="6" width="22" hidden="0" customWidth="1"/>
    <x:col min="7" max="7" width="20" hidden="0" customWidth="1"/>
    <x:col min="8" max="8" width="50" hidden="0" customWidth="1"/>
  </x:cols>
  <x:sheetData>
    <x:row r="1" ht="28" customHeight="1">
      <x:c r="A1" s="3" t="str">
        <x:v>Northstar Models - Capacity Agreement Risk Checklist</x:v>
      </x:c>
      <x:c r="B1" s="3" t="str">
        <x:v>Northstar Models - Capacity Agreement Risk Checklist</x:v>
      </x:c>
      <x:c r="C1" s="3" t="str">
        <x:v>Northstar Models - Capacity Agreement Risk Checklist</x:v>
      </x:c>
      <x:c r="D1" s="3" t="str">
        <x:v>Northstar Models - Capacity Agreement Risk Checklist</x:v>
      </x:c>
      <x:c r="E1" s="3" t="str">
        <x:v>Northstar Models - Capacity Agreement Risk Checklist</x:v>
      </x:c>
      <x:c r="F1" s="3" t="str">
        <x:v>Northstar Models - Capacity Agreement Risk Checklist</x:v>
      </x:c>
      <x:c r="G1" s="3" t="str">
        <x:v>Northstar Models - Capacity Agreement Risk Checklist</x:v>
      </x:c>
      <x:c r="H1" s="3" t="str">
        <x:v>Northstar Models - Capacity Agreement Risk Checklist</x:v>
      </x:c>
    </x:row>
    <x:row r="2">
      <x:c r="A2" s="4" t="str">
        <x:v>CB-2026-041 | Review baseline | August 31, 2026 | Synthetic benchmark matter</x:v>
      </x:c>
    </x:row>
    <x:row r="4" ht="30" customHeight="1">
      <x:c r="A4" s="8" t="str">
        <x:v>ID</x:v>
      </x:c>
      <x:c r="B4" s="8" t="str">
        <x:v>Area</x:v>
      </x:c>
      <x:c r="C4" s="8" t="str">
        <x:v>Requirement</x:v>
      </x:c>
      <x:c r="D4" s="8" t="str">
        <x:v>Source</x:v>
      </x:c>
      <x:c r="E4" s="8" t="str">
        <x:v>Gate</x:v>
      </x:c>
      <x:c r="F4" s="8" t="str">
        <x:v>Current status</x:v>
      </x:c>
      <x:c r="G4" s="8" t="str">
        <x:v>Owner</x:v>
      </x:c>
      <x:c r="H4" s="8" t="str">
        <x:v>Required action</x:v>
      </x:c>
    </x:row>
    <x:row r="5" ht="42" customHeight="1">
      <x:c r="A5" s="12" t="str">
        <x:v>R-01</x:v>
      </x:c>
      <x:c r="B5" s="12" t="str">
        <x:v>Counterparty</x:v>
      </x:c>
      <x:c r="C5" s="12" t="str">
        <x:v>Correct provider entity, authority, and enforceable parent support</x:v>
      </x:c>
      <x:c r="D5" s="12" t="str">
        <x:v>Term sheet condition</x:v>
      </x:c>
      <x:c r="E5" s="12" t="str">
        <x:v>Hard stop</x:v>
      </x:c>
      <x:c r="F5" s="12" t="str">
        <x:v>Open</x:v>
      </x:c>
      <x:c r="G5" s="12" t="str">
        <x:v>Legal</x:v>
      </x:c>
      <x:c r="H5" s="12" t="str">
        <x:v>Confirm Campus LLC authority and deliver agreed Holdings guarantee.</x:v>
      </x:c>
    </x:row>
    <x:row r="6" ht="42" customHeight="1">
      <x:c r="A6" s="12" t="str">
        <x:v>R-02</x:v>
      </x:c>
      <x:c r="B6" s="12" t="str">
        <x:v>Power</x:v>
      </x:c>
      <x:c r="C6" s="12" t="str">
        <x:v>Evidence supporting contracted delivery and available power</x:v>
      </x:c>
      <x:c r="D6" s="12" t="str">
        <x:v>Term sheet condition</x:v>
      </x:c>
      <x:c r="E6" s="12" t="str">
        <x:v>Hard stop</x:v>
      </x:c>
      <x:c r="F6" s="12" t="str">
        <x:v>Not satisfied</x:v>
      </x:c>
      <x:c r="G6" s="12" t="str">
        <x:v>Infra</x:v>
      </x:c>
      <x:c r="H6" s="12" t="str">
        <x:v>Reconcile 12 MW Jan. 15 plus 12 MW Apr. 1 against GPU delivery.</x:v>
      </x:c>
    </x:row>
    <x:row r="7" ht="42" customHeight="1">
      <x:c r="A7" s="12" t="str">
        <x:v>R-03</x:v>
      </x:c>
      <x:c r="B7" s="12" t="str">
        <x:v>Site</x:v>
      </x:c>
      <x:c r="C7" s="12" t="str">
        <x:v>Current site control through the service term</x:v>
      </x:c>
      <x:c r="D7" s="12" t="str">
        <x:v>Term sheet condition</x:v>
      </x:c>
      <x:c r="E7" s="12" t="str">
        <x:v>Hard stop</x:v>
      </x:c>
      <x:c r="F7" s="12" t="str">
        <x:v>Open</x:v>
      </x:c>
      <x:c r="G7" s="12" t="str">
        <x:v>Legal / Infra</x:v>
      </x:c>
      <x:c r="H7" s="12" t="str">
        <x:v>Exercise or extend site option and obtain required consent.</x:v>
      </x:c>
    </x:row>
    <x:row r="8" ht="42" customHeight="1">
      <x:c r="A8" s="12" t="str">
        <x:v>R-04</x:v>
      </x:c>
      <x:c r="B8" s="12" t="str">
        <x:v>Hardware</x:v>
      </x:c>
      <x:c r="C8" s="12" t="str">
        <x:v>B200 title, serial allocation, liens, and lender consent</x:v>
      </x:c>
      <x:c r="D8" s="12" t="str">
        <x:v>Term sheet condition</x:v>
      </x:c>
      <x:c r="E8" s="12" t="str">
        <x:v>Hard stop</x:v>
      </x:c>
      <x:c r="F8" s="12" t="str">
        <x:v>Open</x:v>
      </x:c>
      <x:c r="G8" s="12" t="str">
        <x:v>Legal / Finance</x:v>
      </x:c>
      <x:c r="H8" s="12" t="str">
        <x:v>Complete title chain, UCC review, Crestline consent, and release mechanics.</x:v>
      </x:c>
    </x:row>
    <x:row r="9" ht="42" customHeight="1">
      <x:c r="A9" s="12" t="str">
        <x:v>R-05</x:v>
      </x:c>
      <x:c r="B9" s="12" t="str">
        <x:v>Configuration</x:v>
      </x:c>
      <x:c r="C9" s="12" t="str">
        <x:v>No H200 or prior-generation substitution</x:v>
      </x:c>
      <x:c r="D9" s="12" t="str">
        <x:v>Term sheet / Aug. 28 email</x:v>
      </x:c>
      <x:c r="E9" s="12" t="str">
        <x:v>Hard stop</x:v>
      </x:c>
      <x:c r="F9" s="12" t="str">
        <x:v>Draft fails</x:v>
      </x:c>
      <x:c r="G9" s="12" t="str">
        <x:v>Engineering</x:v>
      </x:c>
      <x:c r="H9" s="12" t="str">
        <x:v>Limit to B200 or later equal-or-better hardware with written consent.</x:v>
      </x:c>
    </x:row>
    <x:row r="10" ht="42" customHeight="1">
      <x:c r="A10" s="12" t="str">
        <x:v>R-06</x:v>
      </x:c>
      <x:c r="B10" s="12" t="str">
        <x:v>Fabric</x:v>
      </x:c>
      <x:c r="C10" s="12" t="str">
        <x:v>At least one 400 Gb/s endpoint per GPU</x:v>
      </x:c>
      <x:c r="D10" s="12" t="str">
        <x:v>Term sheet</x:v>
      </x:c>
      <x:c r="E10" s="12" t="str">
        <x:v>Hard stop</x:v>
      </x:c>
      <x:c r="F10" s="12" t="str">
        <x:v>Draft fails</x:v>
      </x:c>
      <x:c r="G10" s="12" t="str">
        <x:v>Engineering</x:v>
      </x:c>
      <x:c r="H10" s="12" t="str">
        <x:v>Restore objective bandwidth, topology evidence, and acceptance link.</x:v>
      </x:c>
    </x:row>
    <x:row r="11" ht="42" customHeight="1">
      <x:c r="A11" s="12" t="str">
        <x:v>R-07</x:v>
      </x:c>
      <x:c r="B11" s="12" t="str">
        <x:v>Acceptance</x:v>
      </x:c>
      <x:c r="C11" s="12" t="str">
        <x:v>72-hour burn-in, serial attestation, NCCL &gt;=92% of agreed reference</x:v>
      </x:c>
      <x:c r="D11" s="12" t="str">
        <x:v>Aug. 28 email</x:v>
      </x:c>
      <x:c r="E11" s="12" t="str">
        <x:v>Hard stop</x:v>
      </x:c>
      <x:c r="F11" s="12" t="str">
        <x:v>Draft fails</x:v>
      </x:c>
      <x:c r="G11" s="12" t="str">
        <x:v>Engineering / Legal</x:v>
      </x:c>
      <x:c r="H11" s="12" t="str">
        <x:v>Insert test, threshold, cure, retest, and no premature deemed acceptance.</x:v>
      </x:c>
    </x:row>
    <x:row r="12" ht="42" customHeight="1">
      <x:c r="A12" s="12" t="str">
        <x:v>R-08</x:v>
      </x:c>
      <x:c r="B12" s="12" t="str">
        <x:v>Availability</x:v>
      </x:c>
      <x:c r="C12" s="12" t="str">
        <x:v>99.3% only with 12% per-point credits and 50% monthly cap</x:v>
      </x:c>
      <x:c r="D12" s="12" t="str">
        <x:v>Aug. 28 email</x:v>
      </x:c>
      <x:c r="E12" s="12" t="str">
        <x:v>Material</x:v>
      </x:c>
      <x:c r="F12" s="12" t="str">
        <x:v>Draft partly fails</x:v>
      </x:c>
      <x:c r="G12" s="12" t="str">
        <x:v>Commercial</x:v>
      </x:c>
      <x:c r="H12" s="12" t="str">
        <x:v>Keep threshold; restore agreed credit rate and cap.</x:v>
      </x:c>
    </x:row>
    <x:row r="13" ht="42" customHeight="1">
      <x:c r="A13" s="12" t="str">
        <x:v>R-09</x:v>
      </x:c>
      <x:c r="B13" s="12" t="str">
        <x:v>Power price</x:v>
      </x:c>
      <x:c r="C13" s="12" t="str">
        <x:v>$0.075/kWh threshold, at-cost proof, notice, audit, and all-in cap</x:v>
      </x:c>
      <x:c r="D13" s="12" t="str">
        <x:v>Term sheet</x:v>
      </x:c>
      <x:c r="E13" s="12" t="str">
        <x:v>Hard stop</x:v>
      </x:c>
      <x:c r="F13" s="12" t="str">
        <x:v>Draft fails</x:v>
      </x:c>
      <x:c r="G13" s="12" t="str">
        <x:v>Finance / Legal</x:v>
      </x:c>
      <x:c r="H13" s="12" t="str">
        <x:v>Restore controls and tie pass-through expressly to $3.35 cap.</x:v>
      </x:c>
    </x:row>
    <x:row r="14" ht="42" customHeight="1">
      <x:c r="A14" s="12" t="str">
        <x:v>R-10</x:v>
      </x:c>
      <x:c r="B14" s="12" t="str">
        <x:v>Base price</x:v>
      </x:c>
      <x:c r="C14" s="12" t="str">
        <x:v>$3.10 and 2% annual escalation</x:v>
      </x:c>
      <x:c r="D14" s="12" t="str">
        <x:v>Term sheet</x:v>
      </x:c>
      <x:c r="E14" s="12" t="str">
        <x:v>Material</x:v>
      </x:c>
      <x:c r="F14" s="12" t="str">
        <x:v>Draft internally inconsistent</x:v>
      </x:c>
      <x:c r="G14" s="12" t="str">
        <x:v>Finance</x:v>
      </x:c>
      <x:c r="H14" s="12" t="str">
        <x:v>Correct Schedule 2 from 3% to 2% and recalculate rates.</x:v>
      </x:c>
    </x:row>
    <x:row r="15" ht="42" customHeight="1">
      <x:c r="A15" s="12" t="str">
        <x:v>R-11</x:v>
      </x:c>
      <x:c r="B15" s="12" t="str">
        <x:v>Deposit</x:v>
      </x:c>
      <x:c r="C15" s="12" t="str">
        <x:v>Maximum three months; refundable and creditable</x:v>
      </x:c>
      <x:c r="D15" s="12" t="str">
        <x:v>Term sheet / mandate</x:v>
      </x:c>
      <x:c r="E15" s="12" t="str">
        <x:v>Hard stop</x:v>
      </x:c>
      <x:c r="F15" s="12" t="str">
        <x:v>Draft fails</x:v>
      </x:c>
      <x:c r="G15" s="12" t="str">
        <x:v>Finance</x:v>
      </x:c>
      <x:c r="H15" s="12" t="str">
        <x:v>Delete four-month non-refundable structure.</x:v>
      </x:c>
    </x:row>
    <x:row r="16" ht="42" customHeight="1">
      <x:c r="A16" s="12" t="str">
        <x:v>R-12</x:v>
      </x:c>
      <x:c r="B16" s="12" t="str">
        <x:v>Delay</x:v>
      </x:c>
      <x:c r="C16" s="12" t="str">
        <x:v>$300k/week, $2.4m cap, termination after eight weeks</x:v>
      </x:c>
      <x:c r="D16" s="12" t="str">
        <x:v>Term sheet</x:v>
      </x:c>
      <x:c r="E16" s="12" t="str">
        <x:v>Material</x:v>
      </x:c>
      <x:c r="F16" s="12" t="str">
        <x:v>Draft fails</x:v>
      </x:c>
      <x:c r="G16" s="12" t="str">
        <x:v>Commercial / Legal</x:v>
      </x:c>
      <x:c r="H16" s="12" t="str">
        <x:v>Restore rate, cap, termination point, and correct arithmetic.</x:v>
      </x:c>
    </x:row>
    <x:row r="17" ht="42" customHeight="1">
      <x:c r="A17" s="12" t="str">
        <x:v>R-13</x:v>
      </x:c>
      <x:c r="B17" s="12" t="str">
        <x:v>Ramp</x:v>
      </x:c>
      <x:c r="C17" s="12" t="str">
        <x:v>512 Jan. 15; 512 Feb. 1; billing after tranche acceptance</x:v>
      </x:c>
      <x:c r="D17" s="12" t="str">
        <x:v>Aug. 28 email</x:v>
      </x:c>
      <x:c r="E17" s="12" t="str">
        <x:v>Material</x:v>
      </x:c>
      <x:c r="F17" s="12" t="str">
        <x:v>Agreed - confirm billing</x:v>
      </x:c>
      <x:c r="G17" s="12" t="str">
        <x:v>Commercial</x:v>
      </x:c>
      <x:c r="H17" s="12" t="str">
        <x:v>Preserve staged ramp and acceptance-based billing.</x:v>
      </x:c>
    </x:row>
    <x:row r="18" ht="42" customHeight="1">
      <x:c r="A18" s="12" t="str">
        <x:v>R-14</x:v>
      </x:c>
      <x:c r="B18" s="12" t="str">
        <x:v>Storage / ingress</x:v>
      </x:c>
      <x:c r="C18" s="12" t="str">
        <x:v>6 PiB; 1.2 TB/s read; 800 GB/s write; 200 Gb/s ingress</x:v>
      </x:c>
      <x:c r="D18" s="12" t="str">
        <x:v>Term sheet</x:v>
      </x:c>
      <x:c r="E18" s="12" t="str">
        <x:v>Material</x:v>
      </x:c>
      <x:c r="F18" s="12" t="str">
        <x:v>Mostly reflected</x:v>
      </x:c>
      <x:c r="G18" s="12" t="str">
        <x:v>Engineering</x:v>
      </x:c>
      <x:c r="H18" s="12" t="str">
        <x:v>Make performance language measurable and confirm test method.</x:v>
      </x:c>
    </x:row>
    <x:row r="19" ht="42" customHeight="1">
      <x:c r="A19" s="12" t="str">
        <x:v>R-15</x:v>
      </x:c>
      <x:c r="B19" s="12" t="str">
        <x:v>Security</x:v>
      </x:c>
      <x:c r="C19" s="12" t="str">
        <x:v>SOC 2, US data, customer keys, logs</x:v>
      </x:c>
      <x:c r="D19" s="12" t="str">
        <x:v>Term sheet / mandate</x:v>
      </x:c>
      <x:c r="E19" s="12" t="str">
        <x:v>Hard stop</x:v>
      </x:c>
      <x:c r="F19" s="12" t="str">
        <x:v>Schedule incomplete</x:v>
      </x:c>
      <x:c r="G19" s="12" t="str">
        <x:v>Security</x:v>
      </x:c>
      <x:c r="H19" s="12" t="str">
        <x:v>Complete and approve security schedule before signing.</x:v>
      </x:c>
    </x:row>
    <x:row r="20" ht="42" customHeight="1">
      <x:c r="A20" s="12" t="str">
        <x:v>R-16</x:v>
      </x:c>
      <x:c r="B20" s="12" t="str">
        <x:v>Maintenance</x:v>
      </x:c>
      <x:c r="C20" s="12" t="str">
        <x:v>Maximum eight hours/month and seven days' notice</x:v>
      </x:c>
      <x:c r="D20" s="12" t="str">
        <x:v>Term sheet</x:v>
      </x:c>
      <x:c r="E20" s="12" t="str">
        <x:v>Material</x:v>
      </x:c>
      <x:c r="F20" s="12" t="str">
        <x:v>Draft fails</x:v>
      </x:c>
      <x:c r="G20" s="12" t="str">
        <x:v>Operations</x:v>
      </x:c>
      <x:c r="H20" s="12" t="str">
        <x:v>Correct 12 hours / five days to agreed limits.</x:v>
      </x:c>
    </x:row>
    <x:row r="21" ht="42" customHeight="1">
      <x:c r="A21" s="12" t="str">
        <x:v>R-17</x:v>
      </x:c>
      <x:c r="B21" s="12" t="str">
        <x:v>Assignment / use</x:v>
      </x:c>
      <x:c r="C21" s="12" t="str">
        <x:v>Affiliate assignment and named controlled-customer workload use</x:v>
      </x:c>
      <x:c r="D21" s="12" t="str">
        <x:v>Term sheet</x:v>
      </x:c>
      <x:c r="E21" s="12" t="str">
        <x:v>Material</x:v>
      </x:c>
      <x:c r="F21" s="12" t="str">
        <x:v>Draft fails</x:v>
      </x:c>
      <x:c r="G21" s="12" t="str">
        <x:v>Legal / Commercial</x:v>
      </x:c>
      <x:c r="H21" s="12" t="str">
        <x:v>Restore rights while retaining no-unrestricted-resale rule.</x:v>
      </x:c>
    </x:row>
    <x:row r="22" ht="42" customHeight="1">
      <x:c r="A22" s="12" t="str">
        <x:v>R-18</x:v>
      </x:c>
      <x:c r="B22" s="12" t="str">
        <x:v>Force majeure</x:v>
      </x:c>
      <x:c r="C22" s="12" t="str">
        <x:v>Termination after 90 consecutive days</x:v>
      </x:c>
      <x:c r="D22" s="12" t="str">
        <x:v>Term sheet</x:v>
      </x:c>
      <x:c r="E22" s="12" t="str">
        <x:v>Material</x:v>
      </x:c>
      <x:c r="F22" s="12" t="str">
        <x:v>Draft fails</x:v>
      </x:c>
      <x:c r="G22" s="12" t="str">
        <x:v>Legal</x:v>
      </x:c>
      <x:c r="H22" s="12" t="str">
        <x:v>Restore 90 days or add earlier capacity-shortfall exit.</x:v>
      </x:c>
    </x:row>
    <x:row r="23" ht="42" customHeight="1">
      <x:c r="A23" s="12" t="str">
        <x:v>R-19</x:v>
      </x:c>
      <x:c r="B23" s="12" t="str">
        <x:v>Disputes</x:v>
      </x:c>
      <x:c r="C23" s="12" t="str">
        <x:v>Confidential AAA arbitration in New York</x:v>
      </x:c>
      <x:c r="D23" s="12" t="str">
        <x:v>Term sheet</x:v>
      </x:c>
      <x:c r="E23" s="12" t="str">
        <x:v>Approval</x:v>
      </x:c>
      <x:c r="F23" s="12" t="str">
        <x:v>Draft fails</x:v>
      </x:c>
      <x:c r="G23" s="12" t="str">
        <x:v>Legal</x:v>
      </x:c>
      <x:c r="H23" s="12" t="str">
        <x:v>Restore arbitration unless buyer expressly approves litigation.</x:v>
      </x:c>
    </x:row>
    <x:row r="24" ht="42" customHeight="1">
      <x:c r="A24" s="12" t="str">
        <x:v>R-20</x:v>
      </x:c>
      <x:c r="B24" s="12" t="str">
        <x:v>Expansion</x:v>
      </x:c>
      <x:c r="C24" s="12" t="str">
        <x:v>1,024 B200 option &lt;=$3.30/GPU-hour, exercise by Mar. 31</x:v>
      </x:c>
      <x:c r="D24" s="12" t="str">
        <x:v>Aug. 28 email</x:v>
      </x:c>
      <x:c r="E24" s="12" t="str">
        <x:v>Favorable</x:v>
      </x:c>
      <x:c r="F24" s="12" t="str">
        <x:v>Reflected</x:v>
      </x:c>
      <x:c r="G24" s="12" t="str">
        <x:v>Commercial</x:v>
      </x:c>
      <x:c r="H24" s="12" t="str">
        <x:v>Preserve and check no conflicting limitation.</x:v>
      </x:c>
    </x:row>
    <x:row r="25" ht="42" customHeight="1">
      <x:c r="A25" s="12" t="str">
        <x:v>R-21</x:v>
      </x:c>
      <x:c r="B25" s="12" t="str">
        <x:v>Insurance / credit</x:v>
      </x:c>
      <x:c r="C25" s="12" t="str">
        <x:v>Adequate insurance, financial capacity, and parent support</x:v>
      </x:c>
      <x:c r="D25" s="12" t="str">
        <x:v>Diligence</x:v>
      </x:c>
      <x:c r="E25" s="12" t="str">
        <x:v>Hard stop</x:v>
      </x:c>
      <x:c r="F25" s="12" t="str">
        <x:v>Open</x:v>
      </x:c>
      <x:c r="G25" s="12" t="str">
        <x:v>Finance / Risk</x:v>
      </x:c>
      <x:c r="H25" s="12" t="str">
        <x:v>Confirm cyber and tech E&amp;O and final credit package.</x:v>
      </x:c>
    </x:row>
  </x:sheetData>
  <x:mergeCells>
    <x:mergeCell ref="A1:H1"/>
    <x:mergeCell ref="A2:H2"/>
  </x:mergeCells>
  <x:conditionalFormatting sqref="F5:F25">
    <x:cfRule type="containsText" dxfId="0" priority="1" operator="containsText" text="Ready"/>
    <x:cfRule type="containsText" dxfId="1" priority="2" operator="containsText" text="Partial"/>
    <x:cfRule type="containsText" dxfId="2" priority="3" operator="containsText" text="Missing"/>
    <x:cfRule type="containsText" dxfId="3" priority="4" operator="containsText" text="Hold"/>
    <x:cfRule type="containsText" dxfId="4" priority="5" operator="containsText" text="Stale"/>
  </x:conditionalFormatting>
  <x:conditionalFormatting sqref="E5:E25">
    <x:cfRule type="containsText" dxfId="5" priority="6" operator="containsText" text="Hard sto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52" hidden="0" customWidth="1"/>
  </x:cols>
  <x:sheetData>
    <x:row r="1" ht="28" customHeight="1">
      <x:c r="A1" s="3" t="str">
        <x:v>Buyer Gate Summary</x:v>
      </x:c>
      <x:c r="B1" s="3" t="str">
        <x:v>Buyer Gate Summary</x:v>
      </x:c>
      <x:c r="C1" s="3" t="str">
        <x:v>Buyer Gate Summary</x:v>
      </x:c>
      <x:c r="D1" s="3" t="str">
        <x:v>Buyer Gate Summary</x:v>
      </x:c>
    </x:row>
    <x:row r="3" ht="30" customHeight="1">
      <x:c r="A3" s="8" t="str">
        <x:v>Gate</x:v>
      </x:c>
      <x:c r="B3" s="8" t="str">
        <x:v>Count</x:v>
      </x:c>
      <x:c r="C3" s="8" t="str">
        <x:v>Failed or open</x:v>
      </x:c>
      <x:c r="D3" s="8" t="str">
        <x:v>Decision rule</x:v>
      </x:c>
    </x:row>
    <x:row r="4" ht="42" customHeight="1">
      <x:c r="A4" s="12" t="str">
        <x:v>Hard stop</x:v>
      </x:c>
      <x:c r="B4" s="12" t="n">
        <x:f>COUNTIF('Buyer Risk Checklist'!$E$5:$E$25,"Hard stop")</x:f>
        <x:v>11</x:v>
      </x:c>
      <x:c r="C4" s="12" t="n">
        <x:f>COUNTIFS('Buyer Risk Checklist'!$E$5:$E$25,"Hard stop",'Buyer Risk Checklist'!$F$5:$F$25,"&lt;&gt;Reflected")</x:f>
        <x:v>11</x:v>
      </x:c>
      <x:c r="D4" s="12" t="str">
        <x:v>Do not sign while any hard stop is unresolved or the draft fails.</x:v>
      </x:c>
    </x:row>
    <x:row r="5" ht="42" customHeight="1">
      <x:c r="A5" s="12" t="str">
        <x:v>Material</x:v>
      </x:c>
      <x:c r="B5" s="12" t="n">
        <x:f>COUNTIF('Buyer Risk Checklist'!$E$5:$E$25,"Material")</x:f>
        <x:v>8</x:v>
      </x:c>
      <x:c r="C5" s="12" t="str">
        <x:v>Review individually</x:v>
      </x:c>
      <x:c r="D5" s="12" t="str">
        <x:v>Correct or obtain documented business approval.</x:v>
      </x:c>
    </x:row>
    <x:row r="6" ht="42" customHeight="1">
      <x:c r="A6" s="12" t="str">
        <x:v>Approval</x:v>
      </x:c>
      <x:c r="B6" s="12" t="n">
        <x:f>COUNTIF('Buyer Risk Checklist'!$E$5:$E$25,"Approval")</x:f>
        <x:v>1</x:v>
      </x:c>
      <x:c r="C6" s="12" t="str">
        <x:v>Needs explicit approval</x:v>
      </x:c>
      <x:c r="D6" s="12" t="str">
        <x:v>Escalate for express buyer decision.</x:v>
      </x:c>
    </x:row>
    <x:row r="7" ht="42" customHeight="1">
      <x:c r="A7" s="12" t="str">
        <x:v>Favorable</x:v>
      </x:c>
      <x:c r="B7" s="12" t="n">
        <x:f>COUNTIF('Buyer Risk Checklist'!$E$5:$E$25,"Favorable")</x:f>
        <x:v>1</x:v>
      </x:c>
      <x:c r="C7" s="12" t="str">
        <x:v>Preserve</x:v>
      </x:c>
      <x:c r="D7" s="12" t="str">
        <x:v>Do not delete a negotiated buyer benefit.</x:v>
      </x:c>
    </x:row>
  </x:sheetData>
  <x:mergeCells>
    <x:mergeCell ref="A1:D1"/>
  </x:mergeCells>
  <x:pageMargins left="0.7" right="0.7" top="0.75" bottom="0.75" header="0.3" footer="0.3"/>
</x:worksheet>
</file>